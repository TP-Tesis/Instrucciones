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UPC\2026-II\PRPTOTIPO TP\"/>
    </mc:Choice>
  </mc:AlternateContent>
  <xr:revisionPtr revIDLastSave="0" documentId="13_ncr:1_{7398DDDA-1C96-4935-BA3C-47602EDC0A4F}" xr6:coauthVersionLast="47" xr6:coauthVersionMax="47" xr10:uidLastSave="{00000000-0000-0000-0000-000000000000}"/>
  <bookViews>
    <workbookView xWindow="-120" yWindow="-120" windowWidth="29040" windowHeight="15720" xr2:uid="{00000000-000D-0000-FFFF-FFFF00000000}"/>
  </bookViews>
  <sheets>
    <sheet name="Product Backlog" sheetId="1" r:id="rId1"/>
    <sheet name="Resumen" sheetId="2" r:id="rId2"/>
  </sheets>
  <definedNames>
    <definedName name="_xlnm._FilterDatabase" localSheetId="0" hidden="1">'Product Backlog'!$A$4:$I$34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2" l="1"/>
  <c r="B31" i="2"/>
  <c r="B30" i="2"/>
  <c r="B29" i="2"/>
  <c r="D23" i="2"/>
  <c r="C23" i="2"/>
  <c r="B23" i="2"/>
  <c r="D22" i="2"/>
  <c r="C22" i="2"/>
  <c r="B22" i="2"/>
  <c r="D21" i="2"/>
  <c r="C21" i="2"/>
  <c r="B21" i="2"/>
  <c r="D20" i="2"/>
  <c r="D24" i="2" s="1"/>
  <c r="C20" i="2"/>
  <c r="B20" i="2"/>
  <c r="F14" i="2"/>
  <c r="E14" i="2"/>
  <c r="D14" i="2"/>
  <c r="C14" i="2"/>
  <c r="B14" i="2"/>
  <c r="F13" i="2"/>
  <c r="E13" i="2"/>
  <c r="D13" i="2"/>
  <c r="C13" i="2"/>
  <c r="B13" i="2"/>
  <c r="F12" i="2"/>
  <c r="E12" i="2"/>
  <c r="D12" i="2"/>
  <c r="C12" i="2"/>
  <c r="B12" i="2"/>
  <c r="F11" i="2"/>
  <c r="E11" i="2"/>
  <c r="D11" i="2"/>
  <c r="C11" i="2"/>
  <c r="B11" i="2"/>
  <c r="F10" i="2"/>
  <c r="E10" i="2"/>
  <c r="D10" i="2"/>
  <c r="C10" i="2"/>
  <c r="B10" i="2"/>
  <c r="F9" i="2"/>
  <c r="E9" i="2"/>
  <c r="D9" i="2"/>
  <c r="C9" i="2"/>
  <c r="B9" i="2"/>
  <c r="F8" i="2"/>
  <c r="E8" i="2"/>
  <c r="D8" i="2"/>
  <c r="C8" i="2"/>
  <c r="B8" i="2"/>
  <c r="F7" i="2"/>
  <c r="E7" i="2"/>
  <c r="D7" i="2"/>
  <c r="C7" i="2"/>
  <c r="B7" i="2"/>
  <c r="F6" i="2"/>
  <c r="E6" i="2"/>
  <c r="D6" i="2"/>
  <c r="C6" i="2"/>
  <c r="B6" i="2"/>
  <c r="F5" i="2"/>
  <c r="E5" i="2"/>
  <c r="D5" i="2"/>
  <c r="C5" i="2"/>
  <c r="B5" i="2"/>
  <c r="B24" i="2" l="1"/>
  <c r="C24" i="2"/>
  <c r="B33" i="2"/>
  <c r="D15" i="2"/>
  <c r="B15" i="2"/>
  <c r="E15" i="2"/>
  <c r="C15" i="2"/>
  <c r="F15" i="2"/>
</calcChain>
</file>

<file path=xl/sharedStrings.xml><?xml version="1.0" encoding="utf-8"?>
<sst xmlns="http://schemas.openxmlformats.org/spreadsheetml/2006/main" count="320" uniqueCount="166">
  <si>
    <t>PRODUCT BACKLOG · Simulador de riego presurizado</t>
  </si>
  <si>
    <t>Sosa Colca, Angello Rodolfo · Tongo Alejandro, Milagros Salet · Ingeniería de Software, UPC. 30 historias en 4 sprints de dos semanas, cada una con sus criterios de aceptación. Una historia se da por terminada solo cuando se cumplen todos.</t>
  </si>
  <si>
    <t>ID</t>
  </si>
  <si>
    <t>ÉPICA</t>
  </si>
  <si>
    <t>COMO...</t>
  </si>
  <si>
    <t>QUIERO...</t>
  </si>
  <si>
    <t>PARA...</t>
  </si>
  <si>
    <t>CRITERIOS DE ACEPTACIÓN</t>
  </si>
  <si>
    <t>PRIORIDAD</t>
  </si>
  <si>
    <t>SPRINT</t>
  </si>
  <si>
    <t>ESTADO</t>
  </si>
  <si>
    <t>HU-01</t>
  </si>
  <si>
    <t>E1 · Motor de cálculo verificado</t>
  </si>
  <si>
    <t>Equipo de desarrollo</t>
  </si>
  <si>
    <t>un motor de cálculo separado de la pantalla, que resuelva la red abierta recorriéndola nodo por nodo</t>
  </si>
  <si>
    <t>poder verificarlo por sí solo, reutilizarlo en la pantalla y en el optimizador, y que el resultado aparezca en menos de doscientos milisegundos</t>
  </si>
  <si>
    <t>1. El motor se ejecuta sin abrir la interfaz, desde una prueba automática.
2. Una red de cincuenta nodos se resuelve completa en menos de doscientos milisegundos.
3. El recorrido acumula caudales de las salidas hacia el origen y propaga presiones del origen hacia las salidas, pasando una sola vez por cada nodo.</t>
  </si>
  <si>
    <t>Alta</t>
  </si>
  <si>
    <t>Sprint 1</t>
  </si>
  <si>
    <t>Pendiente</t>
  </si>
  <si>
    <t>HU-02</t>
  </si>
  <si>
    <t>calcular la pérdida de carga con Hazen-Williams sobre la longitud inclinada del tramo y sumar las pérdidas locales de los accesorios</t>
  </si>
  <si>
    <t>reproducir el método de la hoja profesional de referencia, con entradas, codos, ampliaciones y reducciones incluidas</t>
  </si>
  <si>
    <t>1. La longitud de cálculo de cada tramo es la inclinada, no la proyección horizontal.
2. Un problema resuelto de bibliografía se reproduce con la misma pérdida de carga hasta el tercer decimal.
3. Las pérdidas locales se suman con el coeficiente de cada accesorio y se pueden desactivar para comparar el efecto.</t>
  </si>
  <si>
    <t>HU-03</t>
  </si>
  <si>
    <t>que el caudal de cada emisor salga de su curva característica, y resolver por aproximaciones sucesivas el acoplamiento entre presión y caudal</t>
  </si>
  <si>
    <t>que lo que entrega cada salida corresponda a la presión real que tiene, y no todas entreguen lo mismo aunque sean iguales</t>
  </si>
  <si>
    <t>1. El caudal de cada salida se obtiene de su curva, con el exponente configurable para emisor simple y autocompensante.
2. Las aproximaciones se detienen cuando el caudal varía menos de una décima de por ciento entre dos vueltas.
3. Dos salidas del mismo modelo con distinta presión entregan caudales distintos.</t>
  </si>
  <si>
    <t>HU-04</t>
  </si>
  <si>
    <t>aplicar las cámaras rompe-presión y las válvulas reguladoras como condiciones del recorrido</t>
  </si>
  <si>
    <t>que corten la carga exactamente donde el estudiante las coloque</t>
  </si>
  <si>
    <t>1. Aguas abajo de una cámara rompe-presión la carga vuelve a la altura de la cámara, sin arrastrar la presión anterior.
2. Una válvula reguladora fija la presión de salida al valor configurado mientras la de entrada sea mayor.
3. Quitar el elemento devuelve la red exactamente al estado que tenía antes de colocarlo.</t>
  </si>
  <si>
    <t>HU-05</t>
  </si>
  <si>
    <t>una tabla de verificación del motor contra la hoja profesional, un simulador estándar y problemas resueltos de bibliografía, y pruebas automáticas sobre redes generadas al azar que corran en cada cambio</t>
  </si>
  <si>
    <t>demostrar con error documentado que el cálculo es correcto antes de que ningún estudiante lo use</t>
  </si>
  <si>
    <t>1. Existe una tabla que compara, tramo por tramo, el resultado del motor con las tres fuentes.
2. El error frente a la hoja de referencia queda documentado y por debajo de una centésima de por ciento.
3. Las pruebas corren en cada cambio del código y fallan si se rompe una invariante física, por ejemplo si la presión sube en el sentido del flujo sin una bomba.</t>
  </si>
  <si>
    <t>HU-06</t>
  </si>
  <si>
    <t>E9 · Instrumentación y validación</t>
  </si>
  <si>
    <t>Docente</t>
  </si>
  <si>
    <t>un banco de ítems clasificado por nivel cognitivo y asociado a cada una de las siete creencias equivocadas del inventario</t>
  </si>
  <si>
    <t>que el instrumento mida comprensión y no destreza de cálculo</t>
  </si>
  <si>
    <t>1. Cada ítem declara a qué creencia equivocada corresponde y en qué nivel de la taxonomía se ubica.
2. Hay al menos dos ítems por cada una de las siete creencias.
3. Al menos un tercio del banco está en los niveles de Analizar y Evaluar, y ningún ítem se resuelve aplicando una fórmula con los datos dados.</t>
  </si>
  <si>
    <t>HU-07</t>
  </si>
  <si>
    <t>someter el instrumento a juicio de un docente de hidráulica y a una prueba piloto</t>
  </si>
  <si>
    <t>poder afirmar que lo que mide es lo que dice medir</t>
  </si>
  <si>
    <t>1. Al menos dos docentes de hidráulica revisan el banco y su conformidad queda registrada ítem por ítem.
2. Se aplica a un grupo piloto ajeno al experimento y se calcula la consistencia interna.
3. Los ítems que el piloto muestre ambiguos, o que nadie responda bien, se corrigen o se retiran antes del pretest.</t>
  </si>
  <si>
    <t>HU-08</t>
  </si>
  <si>
    <t>E10 · Cuentas y sesión</t>
  </si>
  <si>
    <t>Estudiante y docente</t>
  </si>
  <si>
    <t>entrar con mi cuenta, con permisos distintos según mi rol, y que mis diseños queden guardados con su número de versión</t>
  </si>
  <si>
    <t>retomar donde dejé, ver mi propia trayectoria de mejora y, si soy docente, seguir el avance del grupo</t>
  </si>
  <si>
    <t>1. El estudiante ve solo sus diseños y el docente ve los de su grupo.
2. Cada guardado crea una versión nueva y las anteriores siguen abiertas para consulta.
3. Cerrar el navegador y volver a entrar devuelve el último diseño en el punto donde quedó.</t>
  </si>
  <si>
    <t>Media</t>
  </si>
  <si>
    <t>Sprint 2</t>
  </si>
  <si>
    <t>HU-09</t>
  </si>
  <si>
    <t>E2 · Diseño en 2D</t>
  </si>
  <si>
    <t>Estudiante</t>
  </si>
  <si>
    <t>ver a la vez la planta a escala real, el perfil con el terreno, la tubería y la línea de presión disponible, y la tabla por tramo con las columnas y unidades del método de referencia, con el tramo que toco resaltado en las tres y el estado de cada nodo por color</t>
  </si>
  <si>
    <t>leer el mismo hecho de tres maneras y reconocer de un vistazo dónde falta presión y dónde sobra</t>
  </si>
  <si>
    <t>1. Las tres vistas se ven al mismo tiempo, sin cambiar de pantalla ni de pestaña.
2. Seleccionar un tramo en cualquiera de las tres lo resalta en las otras dos.
3. El perfil dibuja terreno, tubería y línea de presión disponible, y la franja entre las dos últimas se lee como la presión de ese punto.
4. Cada nodo toma color según si le falta presión, está en rango o le sobra.</t>
  </si>
  <si>
    <t>HU-10</t>
  </si>
  <si>
    <t>editar el diámetro, la clase, los accesorios y la cota desde la propia tabla y ver el efecto al instante</t>
  </si>
  <si>
    <t>probar alternativas sin cambiar de pantalla y entender cuánta presión regala o cobra la topografía</t>
  </si>
  <si>
    <t>1. Cambiar cualquiera de esos valores actualiza las tres vistas sin recargar la página.
2. El resultado aparece en menos de un segundo desde el cambio.
3. Se puede deshacer el último cambio y volver al valor anterior.</t>
  </si>
  <si>
    <t>HU-11</t>
  </si>
  <si>
    <t>E6 · Terreno y vista 3D</t>
  </si>
  <si>
    <t>escenarios construidos sobre perfiles reales de zonas de riego peruanas, que yo pueda publicar para mi grupo</t>
  </si>
  <si>
    <t>que la práctica no ocurra sobre un terreno inventado, y dirigirla sin depender del equipo de desarrollo</t>
  </si>
  <si>
    <t>1. Cada escenario trae un perfil real de una zona de riego peruana, con su procedencia anotada.
2. El docente publica un escenario a su grupo y lo retira, sin intervención del equipo de desarrollo.
3. Hay al menos tres escenarios con relieves distintos: ladera, terraza y terreno quebrado.</t>
  </si>
  <si>
    <t>HU-12</t>
  </si>
  <si>
    <t>E5 · Presión, uniformidad y costos</t>
  </si>
  <si>
    <t>asignar una clase de tubería a cada tramo, colocar cámaras rompe-presión y válvulas reguladoras, y que me avise cuando la presión supera la clase o el desnivel acumulado pasa el límite del método, mostrándome el costo de cada medida</t>
  </si>
  <si>
    <t>evitar la rotura antes de que ocurra y elegir con criterio, no solamente por precio</t>
  </si>
  <si>
    <t>1. Si la presión de un tramo supera la clase asignada, el tramo se marca y se indica cuánto sobra.
2. Si el desnivel acumulado pasa el límite del método, el aviso señala el punto exacto donde se cruza.
3. Cada medida muestra su costo y el total del diseño se actualiza al colocarla o quitarla.</t>
  </si>
  <si>
    <t>HU-13</t>
  </si>
  <si>
    <t>conocer la uniformidad de distribución de mi diseño y ver cuántos milímetros de lámina le faltan al cuarto peor servido</t>
  </si>
  <si>
    <t>entender qué significa ese porcentaje en la planta y no solo en el papel</t>
  </si>
  <si>
    <t>1. La uniformidad se calcula como la media del cuarto de salidas con menos caudal dividida entre la media de todas.
2. Junto al porcentaje se indica cuántos milímetros de lámina le faltan a ese cuarto peor servido.
3. El valor se recalcula al instante ante cualquier cambio del diseño.</t>
  </si>
  <si>
    <t>HU-14</t>
  </si>
  <si>
    <t>que cada acción quede registrada con su marca de tiempo sin sobrescribir nada, y poder derivar las métricas por consulta sobre ese registro</t>
  </si>
  <si>
    <t>poder recalcular cualquier métrica después, aunque más adelante cambie su definición</t>
  </si>
  <si>
    <t>1. Cada acción queda con su marca de tiempo, el estado anterior y el posterior, y ninguna fila se modifica ni se borra.
2. Las métricas se obtienen por consulta sobre el registro y no se guardan ya calculadas.
3. La sesión completa de un estudiante se puede reconstruir paso a paso a partir del registro.</t>
  </si>
  <si>
    <t>HU-15</t>
  </si>
  <si>
    <t>E3 · Base agronómica</t>
  </si>
  <si>
    <t>elegir el cultivo con su coeficiente, su profundidad de raíz y su fracción de agotamiento, y cargar la evapotranspiración, el área, la eficiencia de aplicación y las horas de riego</t>
  </si>
  <si>
    <t>que el sistema calcule el agua que el cultivo necesita sin que yo busque esos valores en tablas aparte</t>
  </si>
  <si>
    <t>1. Elegir el cultivo trae sus tres parámetros sin que el estudiante los escriba.
2. Con los datos de clima, área, eficiencia y horas, el sistema entrega la lámina y el caudal requerido.
3. Cambiar cualquiera de esos datos recalcula la demanda y avisa si el diseño vigente ya no la cubre.</t>
  </si>
  <si>
    <t>Sprint 3</t>
  </si>
  <si>
    <t>HU-16</t>
  </si>
  <si>
    <t>ver la cadena completa que va de la necesidad del cultivo al caudal de cada salida, y poder escribir el caudal a mano cuando ya lo conozco</t>
  </si>
  <si>
    <t>entender de dónde sale el número que gobierna todo el diseño, sin perder la opción de reproducir un diseño existente</t>
  </si>
  <si>
    <t>1. Una vista muestra paso a paso cómo se llega del requerimiento del cultivo al caudal de cada salida, con el valor intermedio de cada paso.
2. Existe un modo alternativo donde el estudiante escribe el caudal directamente, y la cadena queda marcada como omitida.
3. Los dos modos llevan al mismo cálculo hidráulico de ahí en adelante.</t>
  </si>
  <si>
    <t>HU-17</t>
  </si>
  <si>
    <t>elegir la textura del suelo con su infiltración y su capacidad de retención, y que me avise si aplico más rápido de lo que el suelo infiltra o si paso los días que el cultivo puede esperar</t>
  </si>
  <si>
    <t>corregir antes de que el agua escurra sin llegar a la raíz, y decidir la frecuencia con un criterio y no por costumbre</t>
  </si>
  <si>
    <t>1. Elegir la textura trae su velocidad de infiltración y su capacidad de retención.
2. Si la lámina aplicada por hora supera la infiltración, aparece un aviso de escorrentía con el exceso en milímetros.
3. El sistema indica cada cuántos días puede esperar el cultivo y avisa si la frecuencia elegida lo supera.</t>
  </si>
  <si>
    <t>HU-18</t>
  </si>
  <si>
    <t>E4 · Proceso de aprendizaje</t>
  </si>
  <si>
    <t>que el primer escenario no muestre ninguna alerta, que después la primera señal sea solo el síntoma, y que la causa y las salidas posibles lleguen solo si las pido, quedando registrado qué nivel de ayuda necesité</t>
  </si>
  <si>
    <t>practicar el diagnóstico en lugar de recibirlo hecho, y que se pueda medir si a lo largo de los escenarios voy necesitando cada vez menos ayuda</t>
  </si>
  <si>
    <t>1. En el primer escenario no aparece ninguna alerta, aunque el diseño tenga problemas.
2. Desde el segundo, la primera señal nombra solo el síntoma; la causa y las salidas aparecen únicamente si el estudiante las pide.
3. Cada petición de ayuda queda registrada con su nivel y el escenario en que ocurrió.</t>
  </si>
  <si>
    <t>HU-19</t>
  </si>
  <si>
    <t>que cada alerta me diga si el problema viene del terreno, de la hidráulica o del cultivo, y que las salidas vengan ordenadas por preferencia de ingeniería</t>
  </si>
  <si>
    <t>saber en qué dominio buscar la solución y entender que hay varias soluciones válidas, no una única respuesta</t>
  </si>
  <si>
    <t>1. Cada alerta indica su dominio: terreno, hidráulica o cultivo.
2. Las salidas posibles se presentan ordenadas por preferencia de ingeniería, con el criterio del orden a la vista.
3. Ninguna alerta presenta una única salida como la correcta.</t>
  </si>
  <si>
    <t>HU-20</t>
  </si>
  <si>
    <t>que antes de mostrarme el resultado me pregunten qué va a pasar, que la pregunta rote entre dirección, magnitud y causa, y que se registre mi respuesta junto al resultado real</t>
  </si>
  <si>
    <t>comprometerme con una hipótesis en lugar de avanzar por tanteo, y que se pueda medir mi acierto contra el azar</t>
  </si>
  <si>
    <t>1. Antes de revelar el efecto de un cambio con consecuencia, el sistema pregunta qué va a pasar.
2. La pregunta rota entre dirección, magnitud y causa, y no repite el mismo formato dos veces seguidas.
3. Quedan registrados la respuesta, el formato, el resultado real y si acertó.
4. El resultado no se muestra hasta que la pregunta esté respondida.</t>
  </si>
  <si>
    <t>HU-21</t>
  </si>
  <si>
    <t>que al resolver un problema me pregunten por qué funcionó, y poder llegar a la teoría desde la columna o la alerta que me generó la duda, con mis propios números como ejemplo</t>
  </si>
  <si>
    <t>fijar la explicación y no solo el resultado, sin abandonar mi diseño cuando necesito entender algo</t>
  </si>
  <si>
    <t>1. Al cerrar un escenario se pide explicar por qué funcionó, y el texto queda guardado junto al diseño.
2. Desde cualquier columna de la tabla o cualquier alerta se llega a su explicación teórica sin salir del diseño.
3. La explicación usa los números del diseño abierto como ejemplo, no valores genéricos.</t>
  </si>
  <si>
    <t>HU-22</t>
  </si>
  <si>
    <t>que el estudiante responda el cuestionario inicial antes de abrir el simulador y el final al cerrar el ciclo, y que la aplicación distinga los tres grupos del experimento</t>
  </si>
  <si>
    <t>medir cuánto aprendió desde su punto de partida, habilitando la vista tridimensional solo al grupo que corresponda</t>
  </si>
  <si>
    <t>1. El simulador no se abre hasta que el cuestionario inicial esté respondido.
2. Cada estudiante queda asignado a uno de los tres grupos, y la vista tridimensional se habilita solo donde corresponde.
3. El cuestionario final se presenta al cerrar el último escenario y sus respuestas quedan ligadas a las del inicial.</t>
  </si>
  <si>
    <t>HU-23</t>
  </si>
  <si>
    <t>ver mi red sobre el relieve en tres dimensiones, y que la vista se desactive sola con un aviso si mi equipo no la soporta</t>
  </si>
  <si>
    <t>entender la relación entre la forma del terreno y la presión disponible, sin quedarme bloqueado si el equipo del laboratorio no da</t>
  </si>
  <si>
    <t>1. La red se ve sobre el relieve del escenario, con la escala vertical y la horizontal declaradas.
2. Si el equipo no soporta la vista, aparece un aviso y el trabajo continúa con el perfil, sin perder el diseño.
3. La vista se mueve con fluidez en el equipamiento del laboratorio, y ese rendimiento queda medido y anotado.</t>
  </si>
  <si>
    <t>Sprint 4</t>
  </si>
  <si>
    <t>HU-24</t>
  </si>
  <si>
    <t>conmutar el sistema a válvulas cerradas y ver hasta dónde sube la presión cuando no hay agua circulando</t>
  </si>
  <si>
    <t>comprobar si mi diseño aguanta la condición crítica, que es la que casi nadie verifica</t>
  </si>
  <si>
    <t>1. Al conmutar a válvulas cerradas desaparece la pérdida por fricción y la presión de cada punto pasa a ser todo el desnivel disponible.
2. Los tramos cuya clase queda superada en esa condición se marcan, aunque estuvieran correctos regando.
3. Se puede volver al estado en operación y comparar las dos lecturas del mismo diseño.</t>
  </si>
  <si>
    <t>HU-25</t>
  </si>
  <si>
    <t>ver el campo pintado por zonas de presión parecida</t>
  </si>
  <si>
    <t>agrupar las salidas en sectores que rieguen parejo, algo que un corte de perfil no me deja hacer</t>
  </si>
  <si>
    <t>1. El campo se pinta por zonas según la presión de cada salida, con su leyenda y el rango de cada banda.
2. El estudiante agrupa salidas en sectores y el sistema le indica cuánto varía la presión dentro de cada uno.
3. Un sector cuya presión varíe más del veinte por ciento queda marcado.</t>
  </si>
  <si>
    <t>HU-26</t>
  </si>
  <si>
    <t>E7 · Optimización con IA</t>
  </si>
  <si>
    <t>entregar mi diseño y que quede firmado, y que el optimizador permanezca bloqueado hasta ese momento</t>
  </si>
  <si>
    <t>que la comparación se haga contra lo que yo resolví y que nadie copie la solución antes de intentarlo</t>
  </si>
  <si>
    <t>1. Al entregar, el diseño queda bloqueado con su fecha y ya no se puede modificar.
2. El optimizador permanece inaccesible mientras no exista una entrega.
3. El estudiante puede seguir trabajando sobre una copia, sin alterar lo entregado.</t>
  </si>
  <si>
    <t>HU-27</t>
  </si>
  <si>
    <t>que el optimizador parta de mi diseño y no de cero, y me devuelva varias soluciones con su costo, su uniformidad y su margen de seguridad, explicándome la razón física de cada cambio que propone</t>
  </si>
  <si>
    <t>poder comparar decisión por decisión, entender que no existe un único diseño correcto y discutirlo en lugar de aceptarlo sin entenderlo</t>
  </si>
  <si>
    <t>1. La búsqueda arranca del diseño entregado y no de una configuración vacía.
2. Devuelve al menos tres opciones, cada una con su costo, su uniformidad y su margen de seguridad.
3. Cada cambio propuesto viene acompañado de la razón física que lo explica, en una frase.
4. Ninguna opción propuesta incumple los límites del método de velocidad ni la presión mínima del emisor.</t>
  </si>
  <si>
    <t>HU-28</t>
  </si>
  <si>
    <t>bloquear las decisiones que la realidad me impone, volver a optimizar, elegir una de las opciones y justificar por escrito mi elección</t>
  </si>
  <si>
    <t>comprobar que la máquina optimiza lo que se modeló y no la realidad, y defender mi criterio frente al suyo</t>
  </si>
  <si>
    <t>1. El estudiante fija diámetros, trazos o elementos, y la nueva búsqueda respeta esas restricciones.
2. El resultado con restricciones se puede comparar lado a lado con el anterior.
3. Elegir una opción exige escribir una justificación, que queda guardada con el diseño final.</t>
  </si>
  <si>
    <t>HU-29</t>
  </si>
  <si>
    <t>que el optimizador corra fuera del hilo de la pantalla, con semilla fija y con su rendimiento medido y documentado</t>
  </si>
  <si>
    <t>que la pantalla no se congele mientras busca, que sus resultados se puedan repetir exactamente y que la aplicación aguante el día del experimento</t>
  </si>
  <si>
    <t>1. La pantalla sigue respondiendo mientras el optimizador busca, y la búsqueda se puede detener.
2. Con la misma semilla y el mismo diseño de partida, dos corridas devuelven exactamente el mismo resultado.
3. El tiempo de búsqueda queda medido contra el número de nodos y documentado, junto con una prueba de carga equivalente a la del día del experimento.</t>
  </si>
  <si>
    <t>HU-30</t>
  </si>
  <si>
    <t>E8 · Reporte y entrega</t>
  </si>
  <si>
    <t>exportar el diseño final en PDF con el plano, la tabla completa, los parámetros, los indicadores y el origen de cada decisión, y exportar los resultados del grupo en un formato analizable</t>
  </si>
  <si>
    <t>entregarlo como trabajo, dejar claro qué decidí yo y qué adopté del optimizador, y hacer el análisis estadístico fuera de la aplicación</t>
  </si>
  <si>
    <t>1. El PDF incluye el plano, la tabla completa por tramo, los parámetros de entrada y los indicadores finales.
2. Cada decisión aparece marcada como propia del estudiante o adoptada del optimizador.
3. El docente exporta los resultados del grupo en un formato que abre una herramienta estadística, sin datos que identifiquen a nadie.</t>
  </si>
  <si>
    <t>RESUMEN DEL BACKLOG</t>
  </si>
  <si>
    <t>Historias por épica</t>
  </si>
  <si>
    <t>TOTAL</t>
  </si>
  <si>
    <t>SPRINT 1</t>
  </si>
  <si>
    <t>SPRINT 2</t>
  </si>
  <si>
    <t>SPRINT 3</t>
  </si>
  <si>
    <t>SPRINT 4</t>
  </si>
  <si>
    <t>Historias por sprint</t>
  </si>
  <si>
    <t>PRIORIDAD ALTA</t>
  </si>
  <si>
    <t>PRIORIDAD MEDIA</t>
  </si>
  <si>
    <t>Historias por rol</t>
  </si>
  <si>
    <t>ROL</t>
  </si>
  <si>
    <t>Nota de alcance</t>
  </si>
  <si>
    <t>El backlog anterior tenía 82 historias y dejaba 33 fuera de los sprints, entre ellas todo el 3D y toda la optimización con IA. Al compactar a 30 no se recortó alcance: se agruparon historias que eran partes de una misma entrega, y las tres piezas que sostienen el planteamiento — 2D, 3D e IA — quedan dentro de los cuatro sprints. Los roles son los tres del proyecto: estudiante, docente y equipo de desarrollo.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</si>
</sst>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14232B"/>
      <name val="Arial"/>
    </font>
    <font>
      <b/>
      <sz val="10"/>
      <color rgb="FFFFFFFF"/>
      <name val="Arial"/>
    </font>
    <font>
      <sz val="10"/>
      <color rgb="FF14232B"/>
      <name val="Arial"/>
    </font>
    <font>
      <b/>
      <sz val="10"/>
      <color rgb="FF0D7A8C"/>
      <name val="Arial"/>
    </font>
    <font>
      <b/>
      <sz val="10"/>
      <color rgb="FFB03A30"/>
      <name val="Arial"/>
    </font>
    <font>
      <b/>
      <sz val="10"/>
      <color rgb="FFB5841A"/>
      <name val="Arial"/>
    </font>
    <font>
      <sz val="9"/>
      <color rgb="FF5A6E76"/>
      <name val="Arial"/>
    </font>
    <font>
      <b/>
      <sz val="11"/>
      <color rgb="FF14232B"/>
      <name val="Arial"/>
    </font>
    <font>
      <sz val="9.5"/>
      <color rgb="FF14232B"/>
      <name val="Arial"/>
    </font>
  </fonts>
  <fills count="5">
    <fill>
      <patternFill patternType="none"/>
    </fill>
    <fill>
      <patternFill patternType="gray125"/>
    </fill>
    <fill>
      <patternFill patternType="solid">
        <fgColor rgb="FF0D7A8C"/>
      </patternFill>
    </fill>
    <fill>
      <patternFill patternType="solid">
        <fgColor rgb="FFFAE6E3"/>
      </patternFill>
    </fill>
    <fill>
      <patternFill patternType="solid">
        <fgColor rgb="FFFBF0D8"/>
      </patternFill>
    </fill>
  </fills>
  <borders count="2">
    <border>
      <left/>
      <right/>
      <top/>
      <bottom/>
      <diagonal/>
    </border>
    <border>
      <left/>
      <right/>
      <top/>
      <bottom style="thin">
        <color rgb="FFD2DBDD"/>
      </bottom>
      <diagonal/>
    </border>
  </borders>
  <cellStyleXfs count="1">
    <xf numFmtId="0" fontId="0" fillId="0" borderId="0"/>
  </cellStyleXfs>
  <cellXfs count="16">
    <xf numFmtId="0" fontId="0" fillId="0" borderId="0" xfId="0"/>
    <xf numFmtId="0" fontId="1" fillId="0" borderId="0" xfId="0" applyFont="1"/>
    <xf numFmtId="0" fontId="2" fillId="2" borderId="0" xfId="0" applyFont="1" applyFill="1" applyAlignment="1">
      <alignment horizontal="center" vertical="center" wrapText="1"/>
    </xf>
    <xf numFmtId="0" fontId="8" fillId="0" borderId="0" xfId="0" applyFont="1"/>
    <xf numFmtId="0" fontId="3" fillId="0" borderId="0" xfId="0" applyFont="1"/>
    <xf numFmtId="0" fontId="4" fillId="0" borderId="0" xfId="0" applyFont="1"/>
    <xf numFmtId="0" fontId="4" fillId="0" borderId="0" xfId="0" applyFont="1" applyAlignment="1">
      <alignment horizontal="center"/>
    </xf>
    <xf numFmtId="0" fontId="4" fillId="0" borderId="1" xfId="0" applyFont="1" applyBorder="1" applyAlignment="1">
      <alignment horizontal="center" vertical="top"/>
    </xf>
    <xf numFmtId="0" fontId="3" fillId="0" borderId="1" xfId="0" applyFont="1" applyBorder="1" applyAlignment="1">
      <alignment vertical="top" wrapText="1"/>
    </xf>
    <xf numFmtId="0" fontId="9" fillId="0" borderId="1" xfId="0" applyFont="1" applyBorder="1" applyAlignment="1">
      <alignment vertical="top" wrapText="1"/>
    </xf>
    <xf numFmtId="0" fontId="5" fillId="3" borderId="1" xfId="0" applyFont="1" applyFill="1" applyBorder="1" applyAlignment="1">
      <alignment horizontal="center" vertical="top"/>
    </xf>
    <xf numFmtId="0" fontId="3" fillId="0" borderId="1" xfId="0" applyFont="1" applyBorder="1" applyAlignment="1">
      <alignment horizontal="center" vertical="top"/>
    </xf>
    <xf numFmtId="0" fontId="6" fillId="4" borderId="1" xfId="0" applyFont="1" applyFill="1" applyBorder="1" applyAlignment="1">
      <alignment horizontal="center" vertical="top"/>
    </xf>
    <xf numFmtId="0" fontId="3" fillId="0" borderId="1" xfId="0" applyFont="1" applyBorder="1" applyAlignment="1">
      <alignment horizontal="center"/>
    </xf>
    <xf numFmtId="0" fontId="7"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workbookViewId="0">
      <pane ySplit="4" topLeftCell="A14" activePane="bottomLeft" state="frozen"/>
      <selection pane="bottomLeft" activeCell="D15" sqref="D15"/>
    </sheetView>
  </sheetViews>
  <sheetFormatPr baseColWidth="10" defaultColWidth="9.140625" defaultRowHeight="15" x14ac:dyDescent="0.25"/>
  <cols>
    <col min="1" max="1" width="9" customWidth="1"/>
    <col min="2" max="2" width="28" customWidth="1"/>
    <col min="3" max="3" width="20" customWidth="1"/>
    <col min="4" max="5" width="48" customWidth="1"/>
    <col min="6" max="6" width="58" customWidth="1"/>
    <col min="7" max="8" width="11" customWidth="1"/>
    <col min="9" max="9" width="12" customWidth="1"/>
  </cols>
  <sheetData>
    <row r="1" spans="1:9" ht="18" x14ac:dyDescent="0.25">
      <c r="A1" s="1" t="s">
        <v>0</v>
      </c>
    </row>
    <row r="2" spans="1:9" ht="27.95" customHeight="1" x14ac:dyDescent="0.25">
      <c r="A2" s="14" t="s">
        <v>1</v>
      </c>
      <c r="B2" s="15"/>
      <c r="C2" s="15"/>
      <c r="D2" s="15"/>
      <c r="E2" s="15"/>
      <c r="F2" s="15"/>
      <c r="G2" s="15"/>
      <c r="H2" s="15"/>
      <c r="I2" s="15"/>
    </row>
    <row r="4" spans="1:9" ht="24" customHeight="1" x14ac:dyDescent="0.25">
      <c r="A4" s="2" t="s">
        <v>2</v>
      </c>
      <c r="B4" s="2" t="s">
        <v>3</v>
      </c>
      <c r="C4" s="2" t="s">
        <v>4</v>
      </c>
      <c r="D4" s="2" t="s">
        <v>5</v>
      </c>
      <c r="E4" s="2" t="s">
        <v>6</v>
      </c>
      <c r="F4" s="2" t="s">
        <v>7</v>
      </c>
      <c r="G4" s="2" t="s">
        <v>8</v>
      </c>
      <c r="H4" s="2" t="s">
        <v>9</v>
      </c>
      <c r="I4" s="2" t="s">
        <v>10</v>
      </c>
    </row>
    <row r="5" spans="1:9" ht="108" customHeight="1" x14ac:dyDescent="0.25">
      <c r="A5" s="7" t="s">
        <v>11</v>
      </c>
      <c r="B5" s="8" t="s">
        <v>12</v>
      </c>
      <c r="C5" s="8" t="s">
        <v>13</v>
      </c>
      <c r="D5" s="8" t="s">
        <v>14</v>
      </c>
      <c r="E5" s="8" t="s">
        <v>15</v>
      </c>
      <c r="F5" s="9" t="s">
        <v>16</v>
      </c>
      <c r="G5" s="10" t="s">
        <v>17</v>
      </c>
      <c r="H5" s="7" t="s">
        <v>18</v>
      </c>
      <c r="I5" s="11" t="s">
        <v>19</v>
      </c>
    </row>
    <row r="6" spans="1:9" ht="108" customHeight="1" x14ac:dyDescent="0.25">
      <c r="A6" s="7" t="s">
        <v>20</v>
      </c>
      <c r="B6" s="8" t="s">
        <v>12</v>
      </c>
      <c r="C6" s="8" t="s">
        <v>13</v>
      </c>
      <c r="D6" s="8" t="s">
        <v>21</v>
      </c>
      <c r="E6" s="8" t="s">
        <v>22</v>
      </c>
      <c r="F6" s="9" t="s">
        <v>23</v>
      </c>
      <c r="G6" s="10" t="s">
        <v>17</v>
      </c>
      <c r="H6" s="7" t="s">
        <v>18</v>
      </c>
      <c r="I6" s="11" t="s">
        <v>19</v>
      </c>
    </row>
    <row r="7" spans="1:9" ht="108" customHeight="1" x14ac:dyDescent="0.25">
      <c r="A7" s="7" t="s">
        <v>24</v>
      </c>
      <c r="B7" s="8" t="s">
        <v>12</v>
      </c>
      <c r="C7" s="8" t="s">
        <v>13</v>
      </c>
      <c r="D7" s="8" t="s">
        <v>25</v>
      </c>
      <c r="E7" s="8" t="s">
        <v>26</v>
      </c>
      <c r="F7" s="9" t="s">
        <v>27</v>
      </c>
      <c r="G7" s="10" t="s">
        <v>17</v>
      </c>
      <c r="H7" s="7" t="s">
        <v>18</v>
      </c>
      <c r="I7" s="11" t="s">
        <v>19</v>
      </c>
    </row>
    <row r="8" spans="1:9" ht="108" customHeight="1" x14ac:dyDescent="0.25">
      <c r="A8" s="7" t="s">
        <v>28</v>
      </c>
      <c r="B8" s="8" t="s">
        <v>12</v>
      </c>
      <c r="C8" s="8" t="s">
        <v>13</v>
      </c>
      <c r="D8" s="8" t="s">
        <v>29</v>
      </c>
      <c r="E8" s="8" t="s">
        <v>30</v>
      </c>
      <c r="F8" s="9" t="s">
        <v>31</v>
      </c>
      <c r="G8" s="10" t="s">
        <v>17</v>
      </c>
      <c r="H8" s="7" t="s">
        <v>18</v>
      </c>
      <c r="I8" s="11" t="s">
        <v>19</v>
      </c>
    </row>
    <row r="9" spans="1:9" ht="108" customHeight="1" x14ac:dyDescent="0.25">
      <c r="A9" s="7" t="s">
        <v>32</v>
      </c>
      <c r="B9" s="8" t="s">
        <v>12</v>
      </c>
      <c r="C9" s="8" t="s">
        <v>13</v>
      </c>
      <c r="D9" s="8" t="s">
        <v>33</v>
      </c>
      <c r="E9" s="8" t="s">
        <v>34</v>
      </c>
      <c r="F9" s="9" t="s">
        <v>35</v>
      </c>
      <c r="G9" s="10" t="s">
        <v>17</v>
      </c>
      <c r="H9" s="7" t="s">
        <v>18</v>
      </c>
      <c r="I9" s="11" t="s">
        <v>19</v>
      </c>
    </row>
    <row r="10" spans="1:9" ht="108" customHeight="1" x14ac:dyDescent="0.25">
      <c r="A10" s="7" t="s">
        <v>36</v>
      </c>
      <c r="B10" s="8" t="s">
        <v>37</v>
      </c>
      <c r="C10" s="8" t="s">
        <v>38</v>
      </c>
      <c r="D10" s="8" t="s">
        <v>39</v>
      </c>
      <c r="E10" s="8" t="s">
        <v>40</v>
      </c>
      <c r="F10" s="9" t="s">
        <v>41</v>
      </c>
      <c r="G10" s="10" t="s">
        <v>17</v>
      </c>
      <c r="H10" s="7" t="s">
        <v>18</v>
      </c>
      <c r="I10" s="11" t="s">
        <v>19</v>
      </c>
    </row>
    <row r="11" spans="1:9" ht="108" customHeight="1" x14ac:dyDescent="0.25">
      <c r="A11" s="7" t="s">
        <v>42</v>
      </c>
      <c r="B11" s="8" t="s">
        <v>37</v>
      </c>
      <c r="C11" s="8" t="s">
        <v>38</v>
      </c>
      <c r="D11" s="8" t="s">
        <v>43</v>
      </c>
      <c r="E11" s="8" t="s">
        <v>44</v>
      </c>
      <c r="F11" s="9" t="s">
        <v>45</v>
      </c>
      <c r="G11" s="10" t="s">
        <v>17</v>
      </c>
      <c r="H11" s="7" t="s">
        <v>18</v>
      </c>
      <c r="I11" s="11" t="s">
        <v>19</v>
      </c>
    </row>
    <row r="12" spans="1:9" ht="108" customHeight="1" x14ac:dyDescent="0.25">
      <c r="A12" s="7" t="s">
        <v>46</v>
      </c>
      <c r="B12" s="8" t="s">
        <v>47</v>
      </c>
      <c r="C12" s="8" t="s">
        <v>48</v>
      </c>
      <c r="D12" s="8" t="s">
        <v>49</v>
      </c>
      <c r="E12" s="8" t="s">
        <v>50</v>
      </c>
      <c r="F12" s="9" t="s">
        <v>51</v>
      </c>
      <c r="G12" s="12" t="s">
        <v>52</v>
      </c>
      <c r="H12" s="7" t="s">
        <v>53</v>
      </c>
      <c r="I12" s="11" t="s">
        <v>19</v>
      </c>
    </row>
    <row r="13" spans="1:9" ht="134.1" customHeight="1" x14ac:dyDescent="0.25">
      <c r="A13" s="7" t="s">
        <v>54</v>
      </c>
      <c r="B13" s="8" t="s">
        <v>55</v>
      </c>
      <c r="C13" s="8" t="s">
        <v>56</v>
      </c>
      <c r="D13" s="8" t="s">
        <v>57</v>
      </c>
      <c r="E13" s="8" t="s">
        <v>58</v>
      </c>
      <c r="F13" s="9" t="s">
        <v>59</v>
      </c>
      <c r="G13" s="10" t="s">
        <v>17</v>
      </c>
      <c r="H13" s="7" t="s">
        <v>53</v>
      </c>
      <c r="I13" s="11" t="s">
        <v>19</v>
      </c>
    </row>
    <row r="14" spans="1:9" ht="108" customHeight="1" x14ac:dyDescent="0.25">
      <c r="A14" s="7" t="s">
        <v>60</v>
      </c>
      <c r="B14" s="8" t="s">
        <v>55</v>
      </c>
      <c r="C14" s="8" t="s">
        <v>56</v>
      </c>
      <c r="D14" s="8" t="s">
        <v>61</v>
      </c>
      <c r="E14" s="8" t="s">
        <v>62</v>
      </c>
      <c r="F14" s="9" t="s">
        <v>63</v>
      </c>
      <c r="G14" s="10" t="s">
        <v>17</v>
      </c>
      <c r="H14" s="7" t="s">
        <v>53</v>
      </c>
      <c r="I14" s="11" t="s">
        <v>19</v>
      </c>
    </row>
    <row r="15" spans="1:9" ht="108" customHeight="1" x14ac:dyDescent="0.25">
      <c r="A15" s="7" t="s">
        <v>64</v>
      </c>
      <c r="B15" s="8" t="s">
        <v>65</v>
      </c>
      <c r="C15" s="8" t="s">
        <v>38</v>
      </c>
      <c r="D15" s="8" t="s">
        <v>66</v>
      </c>
      <c r="E15" s="8" t="s">
        <v>67</v>
      </c>
      <c r="F15" s="9" t="s">
        <v>68</v>
      </c>
      <c r="G15" s="10" t="s">
        <v>17</v>
      </c>
      <c r="H15" s="7" t="s">
        <v>53</v>
      </c>
      <c r="I15" s="11" t="s">
        <v>19</v>
      </c>
    </row>
    <row r="16" spans="1:9" ht="108" customHeight="1" x14ac:dyDescent="0.25">
      <c r="A16" s="7" t="s">
        <v>69</v>
      </c>
      <c r="B16" s="8" t="s">
        <v>70</v>
      </c>
      <c r="C16" s="8" t="s">
        <v>56</v>
      </c>
      <c r="D16" s="8" t="s">
        <v>71</v>
      </c>
      <c r="E16" s="8" t="s">
        <v>72</v>
      </c>
      <c r="F16" s="9" t="s">
        <v>73</v>
      </c>
      <c r="G16" s="10" t="s">
        <v>17</v>
      </c>
      <c r="H16" s="7" t="s">
        <v>53</v>
      </c>
      <c r="I16" s="11" t="s">
        <v>19</v>
      </c>
    </row>
    <row r="17" spans="1:9" ht="108" customHeight="1" x14ac:dyDescent="0.25">
      <c r="A17" s="7" t="s">
        <v>74</v>
      </c>
      <c r="B17" s="8" t="s">
        <v>70</v>
      </c>
      <c r="C17" s="8" t="s">
        <v>56</v>
      </c>
      <c r="D17" s="8" t="s">
        <v>75</v>
      </c>
      <c r="E17" s="8" t="s">
        <v>76</v>
      </c>
      <c r="F17" s="9" t="s">
        <v>77</v>
      </c>
      <c r="G17" s="10" t="s">
        <v>17</v>
      </c>
      <c r="H17" s="7" t="s">
        <v>53</v>
      </c>
      <c r="I17" s="11" t="s">
        <v>19</v>
      </c>
    </row>
    <row r="18" spans="1:9" ht="108" customHeight="1" x14ac:dyDescent="0.25">
      <c r="A18" s="7" t="s">
        <v>78</v>
      </c>
      <c r="B18" s="8" t="s">
        <v>37</v>
      </c>
      <c r="C18" s="8" t="s">
        <v>13</v>
      </c>
      <c r="D18" s="8" t="s">
        <v>79</v>
      </c>
      <c r="E18" s="8" t="s">
        <v>80</v>
      </c>
      <c r="F18" s="9" t="s">
        <v>81</v>
      </c>
      <c r="G18" s="10" t="s">
        <v>17</v>
      </c>
      <c r="H18" s="7" t="s">
        <v>53</v>
      </c>
      <c r="I18" s="11" t="s">
        <v>19</v>
      </c>
    </row>
    <row r="19" spans="1:9" ht="108" customHeight="1" x14ac:dyDescent="0.25">
      <c r="A19" s="7" t="s">
        <v>82</v>
      </c>
      <c r="B19" s="8" t="s">
        <v>83</v>
      </c>
      <c r="C19" s="8" t="s">
        <v>56</v>
      </c>
      <c r="D19" s="8" t="s">
        <v>84</v>
      </c>
      <c r="E19" s="8" t="s">
        <v>85</v>
      </c>
      <c r="F19" s="9" t="s">
        <v>86</v>
      </c>
      <c r="G19" s="10" t="s">
        <v>17</v>
      </c>
      <c r="H19" s="7" t="s">
        <v>87</v>
      </c>
      <c r="I19" s="11" t="s">
        <v>19</v>
      </c>
    </row>
    <row r="20" spans="1:9" ht="108" customHeight="1" x14ac:dyDescent="0.25">
      <c r="A20" s="7" t="s">
        <v>88</v>
      </c>
      <c r="B20" s="8" t="s">
        <v>83</v>
      </c>
      <c r="C20" s="8" t="s">
        <v>56</v>
      </c>
      <c r="D20" s="8" t="s">
        <v>89</v>
      </c>
      <c r="E20" s="8" t="s">
        <v>90</v>
      </c>
      <c r="F20" s="9" t="s">
        <v>91</v>
      </c>
      <c r="G20" s="10" t="s">
        <v>17</v>
      </c>
      <c r="H20" s="7" t="s">
        <v>87</v>
      </c>
      <c r="I20" s="11" t="s">
        <v>19</v>
      </c>
    </row>
    <row r="21" spans="1:9" ht="108" customHeight="1" x14ac:dyDescent="0.25">
      <c r="A21" s="7" t="s">
        <v>92</v>
      </c>
      <c r="B21" s="8" t="s">
        <v>83</v>
      </c>
      <c r="C21" s="8" t="s">
        <v>56</v>
      </c>
      <c r="D21" s="8" t="s">
        <v>93</v>
      </c>
      <c r="E21" s="8" t="s">
        <v>94</v>
      </c>
      <c r="F21" s="9" t="s">
        <v>95</v>
      </c>
      <c r="G21" s="12" t="s">
        <v>52</v>
      </c>
      <c r="H21" s="7" t="s">
        <v>87</v>
      </c>
      <c r="I21" s="11" t="s">
        <v>19</v>
      </c>
    </row>
    <row r="22" spans="1:9" ht="108" customHeight="1" x14ac:dyDescent="0.25">
      <c r="A22" s="7" t="s">
        <v>96</v>
      </c>
      <c r="B22" s="8" t="s">
        <v>97</v>
      </c>
      <c r="C22" s="8" t="s">
        <v>56</v>
      </c>
      <c r="D22" s="8" t="s">
        <v>98</v>
      </c>
      <c r="E22" s="8" t="s">
        <v>99</v>
      </c>
      <c r="F22" s="9" t="s">
        <v>100</v>
      </c>
      <c r="G22" s="10" t="s">
        <v>17</v>
      </c>
      <c r="H22" s="7" t="s">
        <v>87</v>
      </c>
      <c r="I22" s="11" t="s">
        <v>19</v>
      </c>
    </row>
    <row r="23" spans="1:9" ht="108" customHeight="1" x14ac:dyDescent="0.25">
      <c r="A23" s="7" t="s">
        <v>101</v>
      </c>
      <c r="B23" s="8" t="s">
        <v>97</v>
      </c>
      <c r="C23" s="8" t="s">
        <v>56</v>
      </c>
      <c r="D23" s="8" t="s">
        <v>102</v>
      </c>
      <c r="E23" s="8" t="s">
        <v>103</v>
      </c>
      <c r="F23" s="9" t="s">
        <v>104</v>
      </c>
      <c r="G23" s="10" t="s">
        <v>17</v>
      </c>
      <c r="H23" s="7" t="s">
        <v>87</v>
      </c>
      <c r="I23" s="11" t="s">
        <v>19</v>
      </c>
    </row>
    <row r="24" spans="1:9" ht="134.1" customHeight="1" x14ac:dyDescent="0.25">
      <c r="A24" s="7" t="s">
        <v>105</v>
      </c>
      <c r="B24" s="8" t="s">
        <v>97</v>
      </c>
      <c r="C24" s="8" t="s">
        <v>56</v>
      </c>
      <c r="D24" s="8" t="s">
        <v>106</v>
      </c>
      <c r="E24" s="8" t="s">
        <v>107</v>
      </c>
      <c r="F24" s="9" t="s">
        <v>108</v>
      </c>
      <c r="G24" s="10" t="s">
        <v>17</v>
      </c>
      <c r="H24" s="7" t="s">
        <v>87</v>
      </c>
      <c r="I24" s="11" t="s">
        <v>19</v>
      </c>
    </row>
    <row r="25" spans="1:9" ht="108" customHeight="1" x14ac:dyDescent="0.25">
      <c r="A25" s="7" t="s">
        <v>109</v>
      </c>
      <c r="B25" s="8" t="s">
        <v>97</v>
      </c>
      <c r="C25" s="8" t="s">
        <v>56</v>
      </c>
      <c r="D25" s="8" t="s">
        <v>110</v>
      </c>
      <c r="E25" s="8" t="s">
        <v>111</v>
      </c>
      <c r="F25" s="9" t="s">
        <v>112</v>
      </c>
      <c r="G25" s="10" t="s">
        <v>17</v>
      </c>
      <c r="H25" s="7" t="s">
        <v>87</v>
      </c>
      <c r="I25" s="11" t="s">
        <v>19</v>
      </c>
    </row>
    <row r="26" spans="1:9" ht="108" customHeight="1" x14ac:dyDescent="0.25">
      <c r="A26" s="7" t="s">
        <v>113</v>
      </c>
      <c r="B26" s="8" t="s">
        <v>37</v>
      </c>
      <c r="C26" s="8" t="s">
        <v>38</v>
      </c>
      <c r="D26" s="8" t="s">
        <v>114</v>
      </c>
      <c r="E26" s="8" t="s">
        <v>115</v>
      </c>
      <c r="F26" s="9" t="s">
        <v>116</v>
      </c>
      <c r="G26" s="10" t="s">
        <v>17</v>
      </c>
      <c r="H26" s="7" t="s">
        <v>87</v>
      </c>
      <c r="I26" s="11" t="s">
        <v>19</v>
      </c>
    </row>
    <row r="27" spans="1:9" ht="108" customHeight="1" x14ac:dyDescent="0.25">
      <c r="A27" s="7" t="s">
        <v>117</v>
      </c>
      <c r="B27" s="8" t="s">
        <v>65</v>
      </c>
      <c r="C27" s="8" t="s">
        <v>56</v>
      </c>
      <c r="D27" s="8" t="s">
        <v>118</v>
      </c>
      <c r="E27" s="8" t="s">
        <v>119</v>
      </c>
      <c r="F27" s="9" t="s">
        <v>120</v>
      </c>
      <c r="G27" s="10" t="s">
        <v>17</v>
      </c>
      <c r="H27" s="7" t="s">
        <v>121</v>
      </c>
      <c r="I27" s="11" t="s">
        <v>19</v>
      </c>
    </row>
    <row r="28" spans="1:9" ht="108" customHeight="1" x14ac:dyDescent="0.25">
      <c r="A28" s="7" t="s">
        <v>122</v>
      </c>
      <c r="B28" s="8" t="s">
        <v>65</v>
      </c>
      <c r="C28" s="8" t="s">
        <v>56</v>
      </c>
      <c r="D28" s="8" t="s">
        <v>123</v>
      </c>
      <c r="E28" s="8" t="s">
        <v>124</v>
      </c>
      <c r="F28" s="9" t="s">
        <v>125</v>
      </c>
      <c r="G28" s="10" t="s">
        <v>17</v>
      </c>
      <c r="H28" s="7" t="s">
        <v>121</v>
      </c>
      <c r="I28" s="11" t="s">
        <v>19</v>
      </c>
    </row>
    <row r="29" spans="1:9" ht="108" customHeight="1" x14ac:dyDescent="0.25">
      <c r="A29" s="7" t="s">
        <v>126</v>
      </c>
      <c r="B29" s="8" t="s">
        <v>65</v>
      </c>
      <c r="C29" s="8" t="s">
        <v>56</v>
      </c>
      <c r="D29" s="8" t="s">
        <v>127</v>
      </c>
      <c r="E29" s="8" t="s">
        <v>128</v>
      </c>
      <c r="F29" s="9" t="s">
        <v>129</v>
      </c>
      <c r="G29" s="10" t="s">
        <v>17</v>
      </c>
      <c r="H29" s="7" t="s">
        <v>121</v>
      </c>
      <c r="I29" s="11" t="s">
        <v>19</v>
      </c>
    </row>
    <row r="30" spans="1:9" ht="108" customHeight="1" x14ac:dyDescent="0.25">
      <c r="A30" s="7" t="s">
        <v>130</v>
      </c>
      <c r="B30" s="8" t="s">
        <v>131</v>
      </c>
      <c r="C30" s="8" t="s">
        <v>56</v>
      </c>
      <c r="D30" s="8" t="s">
        <v>132</v>
      </c>
      <c r="E30" s="8" t="s">
        <v>133</v>
      </c>
      <c r="F30" s="9" t="s">
        <v>134</v>
      </c>
      <c r="G30" s="10" t="s">
        <v>17</v>
      </c>
      <c r="H30" s="7" t="s">
        <v>121</v>
      </c>
      <c r="I30" s="11" t="s">
        <v>19</v>
      </c>
    </row>
    <row r="31" spans="1:9" ht="134.1" customHeight="1" x14ac:dyDescent="0.25">
      <c r="A31" s="7" t="s">
        <v>135</v>
      </c>
      <c r="B31" s="8" t="s">
        <v>131</v>
      </c>
      <c r="C31" s="8" t="s">
        <v>56</v>
      </c>
      <c r="D31" s="8" t="s">
        <v>136</v>
      </c>
      <c r="E31" s="8" t="s">
        <v>137</v>
      </c>
      <c r="F31" s="9" t="s">
        <v>138</v>
      </c>
      <c r="G31" s="10" t="s">
        <v>17</v>
      </c>
      <c r="H31" s="7" t="s">
        <v>121</v>
      </c>
      <c r="I31" s="11" t="s">
        <v>19</v>
      </c>
    </row>
    <row r="32" spans="1:9" ht="108" customHeight="1" x14ac:dyDescent="0.25">
      <c r="A32" s="7" t="s">
        <v>139</v>
      </c>
      <c r="B32" s="8" t="s">
        <v>131</v>
      </c>
      <c r="C32" s="8" t="s">
        <v>56</v>
      </c>
      <c r="D32" s="8" t="s">
        <v>140</v>
      </c>
      <c r="E32" s="8" t="s">
        <v>141</v>
      </c>
      <c r="F32" s="9" t="s">
        <v>142</v>
      </c>
      <c r="G32" s="12" t="s">
        <v>52</v>
      </c>
      <c r="H32" s="7" t="s">
        <v>121</v>
      </c>
      <c r="I32" s="11" t="s">
        <v>19</v>
      </c>
    </row>
    <row r="33" spans="1:9" ht="108" customHeight="1" x14ac:dyDescent="0.25">
      <c r="A33" s="7" t="s">
        <v>143</v>
      </c>
      <c r="B33" s="8" t="s">
        <v>131</v>
      </c>
      <c r="C33" s="8" t="s">
        <v>13</v>
      </c>
      <c r="D33" s="8" t="s">
        <v>144</v>
      </c>
      <c r="E33" s="8" t="s">
        <v>145</v>
      </c>
      <c r="F33" s="9" t="s">
        <v>146</v>
      </c>
      <c r="G33" s="12" t="s">
        <v>52</v>
      </c>
      <c r="H33" s="7" t="s">
        <v>121</v>
      </c>
      <c r="I33" s="11" t="s">
        <v>19</v>
      </c>
    </row>
    <row r="34" spans="1:9" ht="108" customHeight="1" x14ac:dyDescent="0.25">
      <c r="A34" s="7" t="s">
        <v>147</v>
      </c>
      <c r="B34" s="8" t="s">
        <v>148</v>
      </c>
      <c r="C34" s="8" t="s">
        <v>48</v>
      </c>
      <c r="D34" s="8" t="s">
        <v>149</v>
      </c>
      <c r="E34" s="8" t="s">
        <v>150</v>
      </c>
      <c r="F34" s="9" t="s">
        <v>151</v>
      </c>
      <c r="G34" s="10" t="s">
        <v>17</v>
      </c>
      <c r="H34" s="7" t="s">
        <v>121</v>
      </c>
      <c r="I34" s="11" t="s">
        <v>19</v>
      </c>
    </row>
  </sheetData>
  <autoFilter ref="A4:I34" xr:uid="{00000000-0009-0000-0000-000000000000}"/>
  <mergeCells count="1">
    <mergeCell ref="A2:I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9"/>
  <sheetViews>
    <sheetView workbookViewId="0"/>
  </sheetViews>
  <sheetFormatPr baseColWidth="10" defaultColWidth="9.140625" defaultRowHeight="15" x14ac:dyDescent="0.25"/>
  <cols>
    <col min="1" max="1" width="34" customWidth="1"/>
    <col min="2" max="2" width="12" customWidth="1"/>
    <col min="3" max="4" width="14" customWidth="1"/>
    <col min="5" max="6" width="12" customWidth="1"/>
  </cols>
  <sheetData>
    <row r="1" spans="1:6" ht="18" x14ac:dyDescent="0.25">
      <c r="A1" s="1" t="s">
        <v>152</v>
      </c>
    </row>
    <row r="3" spans="1:6" x14ac:dyDescent="0.25">
      <c r="A3" s="3" t="s">
        <v>153</v>
      </c>
    </row>
    <row r="4" spans="1:6" x14ac:dyDescent="0.25">
      <c r="A4" s="2" t="s">
        <v>3</v>
      </c>
      <c r="B4" s="2" t="s">
        <v>154</v>
      </c>
      <c r="C4" s="2" t="s">
        <v>155</v>
      </c>
      <c r="D4" s="2" t="s">
        <v>156</v>
      </c>
      <c r="E4" s="2" t="s">
        <v>157</v>
      </c>
      <c r="F4" s="2" t="s">
        <v>158</v>
      </c>
    </row>
    <row r="5" spans="1:6" x14ac:dyDescent="0.25">
      <c r="A5" s="4" t="s">
        <v>12</v>
      </c>
      <c r="B5" s="13">
        <f>COUNTIF('Product Backlog'!$B$5:$B$34,$A5)</f>
        <v>5</v>
      </c>
      <c r="C5" s="13">
        <f>COUNTIFS('Product Backlog'!$B$5:$B$34,$A5,'Product Backlog'!$H$5:$H$34,"Sprint 1")</f>
        <v>5</v>
      </c>
      <c r="D5" s="13">
        <f>COUNTIFS('Product Backlog'!$B$5:$B$34,$A5,'Product Backlog'!$H$5:$H$34,"Sprint 2")</f>
        <v>0</v>
      </c>
      <c r="E5" s="13">
        <f>COUNTIFS('Product Backlog'!$B$5:$B$34,$A5,'Product Backlog'!$H$5:$H$34,"Sprint 3")</f>
        <v>0</v>
      </c>
      <c r="F5" s="13">
        <f>COUNTIFS('Product Backlog'!$B$5:$B$34,$A5,'Product Backlog'!$H$5:$H$34,"Sprint 4")</f>
        <v>0</v>
      </c>
    </row>
    <row r="6" spans="1:6" x14ac:dyDescent="0.25">
      <c r="A6" s="4" t="s">
        <v>55</v>
      </c>
      <c r="B6" s="13">
        <f>COUNTIF('Product Backlog'!$B$5:$B$34,$A6)</f>
        <v>2</v>
      </c>
      <c r="C6" s="13">
        <f>COUNTIFS('Product Backlog'!$B$5:$B$34,$A6,'Product Backlog'!$H$5:$H$34,"Sprint 1")</f>
        <v>0</v>
      </c>
      <c r="D6" s="13">
        <f>COUNTIFS('Product Backlog'!$B$5:$B$34,$A6,'Product Backlog'!$H$5:$H$34,"Sprint 2")</f>
        <v>2</v>
      </c>
      <c r="E6" s="13">
        <f>COUNTIFS('Product Backlog'!$B$5:$B$34,$A6,'Product Backlog'!$H$5:$H$34,"Sprint 3")</f>
        <v>0</v>
      </c>
      <c r="F6" s="13">
        <f>COUNTIFS('Product Backlog'!$B$5:$B$34,$A6,'Product Backlog'!$H$5:$H$34,"Sprint 4")</f>
        <v>0</v>
      </c>
    </row>
    <row r="7" spans="1:6" x14ac:dyDescent="0.25">
      <c r="A7" s="4" t="s">
        <v>83</v>
      </c>
      <c r="B7" s="13">
        <f>COUNTIF('Product Backlog'!$B$5:$B$34,$A7)</f>
        <v>3</v>
      </c>
      <c r="C7" s="13">
        <f>COUNTIFS('Product Backlog'!$B$5:$B$34,$A7,'Product Backlog'!$H$5:$H$34,"Sprint 1")</f>
        <v>0</v>
      </c>
      <c r="D7" s="13">
        <f>COUNTIFS('Product Backlog'!$B$5:$B$34,$A7,'Product Backlog'!$H$5:$H$34,"Sprint 2")</f>
        <v>0</v>
      </c>
      <c r="E7" s="13">
        <f>COUNTIFS('Product Backlog'!$B$5:$B$34,$A7,'Product Backlog'!$H$5:$H$34,"Sprint 3")</f>
        <v>3</v>
      </c>
      <c r="F7" s="13">
        <f>COUNTIFS('Product Backlog'!$B$5:$B$34,$A7,'Product Backlog'!$H$5:$H$34,"Sprint 4")</f>
        <v>0</v>
      </c>
    </row>
    <row r="8" spans="1:6" x14ac:dyDescent="0.25">
      <c r="A8" s="4" t="s">
        <v>97</v>
      </c>
      <c r="B8" s="13">
        <f>COUNTIF('Product Backlog'!$B$5:$B$34,$A8)</f>
        <v>4</v>
      </c>
      <c r="C8" s="13">
        <f>COUNTIFS('Product Backlog'!$B$5:$B$34,$A8,'Product Backlog'!$H$5:$H$34,"Sprint 1")</f>
        <v>0</v>
      </c>
      <c r="D8" s="13">
        <f>COUNTIFS('Product Backlog'!$B$5:$B$34,$A8,'Product Backlog'!$H$5:$H$34,"Sprint 2")</f>
        <v>0</v>
      </c>
      <c r="E8" s="13">
        <f>COUNTIFS('Product Backlog'!$B$5:$B$34,$A8,'Product Backlog'!$H$5:$H$34,"Sprint 3")</f>
        <v>4</v>
      </c>
      <c r="F8" s="13">
        <f>COUNTIFS('Product Backlog'!$B$5:$B$34,$A8,'Product Backlog'!$H$5:$H$34,"Sprint 4")</f>
        <v>0</v>
      </c>
    </row>
    <row r="9" spans="1:6" x14ac:dyDescent="0.25">
      <c r="A9" s="4" t="s">
        <v>70</v>
      </c>
      <c r="B9" s="13">
        <f>COUNTIF('Product Backlog'!$B$5:$B$34,$A9)</f>
        <v>2</v>
      </c>
      <c r="C9" s="13">
        <f>COUNTIFS('Product Backlog'!$B$5:$B$34,$A9,'Product Backlog'!$H$5:$H$34,"Sprint 1")</f>
        <v>0</v>
      </c>
      <c r="D9" s="13">
        <f>COUNTIFS('Product Backlog'!$B$5:$B$34,$A9,'Product Backlog'!$H$5:$H$34,"Sprint 2")</f>
        <v>2</v>
      </c>
      <c r="E9" s="13">
        <f>COUNTIFS('Product Backlog'!$B$5:$B$34,$A9,'Product Backlog'!$H$5:$H$34,"Sprint 3")</f>
        <v>0</v>
      </c>
      <c r="F9" s="13">
        <f>COUNTIFS('Product Backlog'!$B$5:$B$34,$A9,'Product Backlog'!$H$5:$H$34,"Sprint 4")</f>
        <v>0</v>
      </c>
    </row>
    <row r="10" spans="1:6" x14ac:dyDescent="0.25">
      <c r="A10" s="4" t="s">
        <v>65</v>
      </c>
      <c r="B10" s="13">
        <f>COUNTIF('Product Backlog'!$B$5:$B$34,$A10)</f>
        <v>4</v>
      </c>
      <c r="C10" s="13">
        <f>COUNTIFS('Product Backlog'!$B$5:$B$34,$A10,'Product Backlog'!$H$5:$H$34,"Sprint 1")</f>
        <v>0</v>
      </c>
      <c r="D10" s="13">
        <f>COUNTIFS('Product Backlog'!$B$5:$B$34,$A10,'Product Backlog'!$H$5:$H$34,"Sprint 2")</f>
        <v>1</v>
      </c>
      <c r="E10" s="13">
        <f>COUNTIFS('Product Backlog'!$B$5:$B$34,$A10,'Product Backlog'!$H$5:$H$34,"Sprint 3")</f>
        <v>0</v>
      </c>
      <c r="F10" s="13">
        <f>COUNTIFS('Product Backlog'!$B$5:$B$34,$A10,'Product Backlog'!$H$5:$H$34,"Sprint 4")</f>
        <v>3</v>
      </c>
    </row>
    <row r="11" spans="1:6" x14ac:dyDescent="0.25">
      <c r="A11" s="4" t="s">
        <v>131</v>
      </c>
      <c r="B11" s="13">
        <f>COUNTIF('Product Backlog'!$B$5:$B$34,$A11)</f>
        <v>4</v>
      </c>
      <c r="C11" s="13">
        <f>COUNTIFS('Product Backlog'!$B$5:$B$34,$A11,'Product Backlog'!$H$5:$H$34,"Sprint 1")</f>
        <v>0</v>
      </c>
      <c r="D11" s="13">
        <f>COUNTIFS('Product Backlog'!$B$5:$B$34,$A11,'Product Backlog'!$H$5:$H$34,"Sprint 2")</f>
        <v>0</v>
      </c>
      <c r="E11" s="13">
        <f>COUNTIFS('Product Backlog'!$B$5:$B$34,$A11,'Product Backlog'!$H$5:$H$34,"Sprint 3")</f>
        <v>0</v>
      </c>
      <c r="F11" s="13">
        <f>COUNTIFS('Product Backlog'!$B$5:$B$34,$A11,'Product Backlog'!$H$5:$H$34,"Sprint 4")</f>
        <v>4</v>
      </c>
    </row>
    <row r="12" spans="1:6" x14ac:dyDescent="0.25">
      <c r="A12" s="4" t="s">
        <v>148</v>
      </c>
      <c r="B12" s="13">
        <f>COUNTIF('Product Backlog'!$B$5:$B$34,$A12)</f>
        <v>1</v>
      </c>
      <c r="C12" s="13">
        <f>COUNTIFS('Product Backlog'!$B$5:$B$34,$A12,'Product Backlog'!$H$5:$H$34,"Sprint 1")</f>
        <v>0</v>
      </c>
      <c r="D12" s="13">
        <f>COUNTIFS('Product Backlog'!$B$5:$B$34,$A12,'Product Backlog'!$H$5:$H$34,"Sprint 2")</f>
        <v>0</v>
      </c>
      <c r="E12" s="13">
        <f>COUNTIFS('Product Backlog'!$B$5:$B$34,$A12,'Product Backlog'!$H$5:$H$34,"Sprint 3")</f>
        <v>0</v>
      </c>
      <c r="F12" s="13">
        <f>COUNTIFS('Product Backlog'!$B$5:$B$34,$A12,'Product Backlog'!$H$5:$H$34,"Sprint 4")</f>
        <v>1</v>
      </c>
    </row>
    <row r="13" spans="1:6" x14ac:dyDescent="0.25">
      <c r="A13" s="4" t="s">
        <v>37</v>
      </c>
      <c r="B13" s="13">
        <f>COUNTIF('Product Backlog'!$B$5:$B$34,$A13)</f>
        <v>4</v>
      </c>
      <c r="C13" s="13">
        <f>COUNTIFS('Product Backlog'!$B$5:$B$34,$A13,'Product Backlog'!$H$5:$H$34,"Sprint 1")</f>
        <v>2</v>
      </c>
      <c r="D13" s="13">
        <f>COUNTIFS('Product Backlog'!$B$5:$B$34,$A13,'Product Backlog'!$H$5:$H$34,"Sprint 2")</f>
        <v>1</v>
      </c>
      <c r="E13" s="13">
        <f>COUNTIFS('Product Backlog'!$B$5:$B$34,$A13,'Product Backlog'!$H$5:$H$34,"Sprint 3")</f>
        <v>1</v>
      </c>
      <c r="F13" s="13">
        <f>COUNTIFS('Product Backlog'!$B$5:$B$34,$A13,'Product Backlog'!$H$5:$H$34,"Sprint 4")</f>
        <v>0</v>
      </c>
    </row>
    <row r="14" spans="1:6" x14ac:dyDescent="0.25">
      <c r="A14" s="4" t="s">
        <v>47</v>
      </c>
      <c r="B14" s="13">
        <f>COUNTIF('Product Backlog'!$B$5:$B$34,$A14)</f>
        <v>1</v>
      </c>
      <c r="C14" s="13">
        <f>COUNTIFS('Product Backlog'!$B$5:$B$34,$A14,'Product Backlog'!$H$5:$H$34,"Sprint 1")</f>
        <v>0</v>
      </c>
      <c r="D14" s="13">
        <f>COUNTIFS('Product Backlog'!$B$5:$B$34,$A14,'Product Backlog'!$H$5:$H$34,"Sprint 2")</f>
        <v>1</v>
      </c>
      <c r="E14" s="13">
        <f>COUNTIFS('Product Backlog'!$B$5:$B$34,$A14,'Product Backlog'!$H$5:$H$34,"Sprint 3")</f>
        <v>0</v>
      </c>
      <c r="F14" s="13">
        <f>COUNTIFS('Product Backlog'!$B$5:$B$34,$A14,'Product Backlog'!$H$5:$H$34,"Sprint 4")</f>
        <v>0</v>
      </c>
    </row>
    <row r="15" spans="1:6" x14ac:dyDescent="0.25">
      <c r="A15" s="5" t="s">
        <v>154</v>
      </c>
      <c r="B15" s="6">
        <f>SUM(B5:B14)</f>
        <v>30</v>
      </c>
      <c r="C15" s="6">
        <f>SUM(C5:C14)</f>
        <v>7</v>
      </c>
      <c r="D15" s="6">
        <f>SUM(D5:D14)</f>
        <v>7</v>
      </c>
      <c r="E15" s="6">
        <f>SUM(E5:E14)</f>
        <v>8</v>
      </c>
      <c r="F15" s="6">
        <f>SUM(F5:F14)</f>
        <v>8</v>
      </c>
    </row>
    <row r="18" spans="1:4" x14ac:dyDescent="0.25">
      <c r="A18" s="3" t="s">
        <v>159</v>
      </c>
    </row>
    <row r="19" spans="1:4" ht="25.5" x14ac:dyDescent="0.25">
      <c r="A19" s="2" t="s">
        <v>9</v>
      </c>
      <c r="B19" s="2" t="s">
        <v>154</v>
      </c>
      <c r="C19" s="2" t="s">
        <v>160</v>
      </c>
      <c r="D19" s="2" t="s">
        <v>161</v>
      </c>
    </row>
    <row r="20" spans="1:4" x14ac:dyDescent="0.25">
      <c r="A20" s="4" t="s">
        <v>18</v>
      </c>
      <c r="B20" s="13">
        <f>COUNTIF('Product Backlog'!$H$5:$H$34,$A20)</f>
        <v>7</v>
      </c>
      <c r="C20" s="13">
        <f>COUNTIFS('Product Backlog'!$H$5:$H$34,$A20,'Product Backlog'!$G$5:$G$34,"Alta")</f>
        <v>7</v>
      </c>
      <c r="D20" s="13">
        <f>COUNTIFS('Product Backlog'!$H$5:$H$34,$A20,'Product Backlog'!$G$5:$G$34,"Media")</f>
        <v>0</v>
      </c>
    </row>
    <row r="21" spans="1:4" x14ac:dyDescent="0.25">
      <c r="A21" s="4" t="s">
        <v>53</v>
      </c>
      <c r="B21" s="13">
        <f>COUNTIF('Product Backlog'!$H$5:$H$34,$A21)</f>
        <v>7</v>
      </c>
      <c r="C21" s="13">
        <f>COUNTIFS('Product Backlog'!$H$5:$H$34,$A21,'Product Backlog'!$G$5:$G$34,"Alta")</f>
        <v>6</v>
      </c>
      <c r="D21" s="13">
        <f>COUNTIFS('Product Backlog'!$H$5:$H$34,$A21,'Product Backlog'!$G$5:$G$34,"Media")</f>
        <v>1</v>
      </c>
    </row>
    <row r="22" spans="1:4" x14ac:dyDescent="0.25">
      <c r="A22" s="4" t="s">
        <v>87</v>
      </c>
      <c r="B22" s="13">
        <f>COUNTIF('Product Backlog'!$H$5:$H$34,$A22)</f>
        <v>8</v>
      </c>
      <c r="C22" s="13">
        <f>COUNTIFS('Product Backlog'!$H$5:$H$34,$A22,'Product Backlog'!$G$5:$G$34,"Alta")</f>
        <v>7</v>
      </c>
      <c r="D22" s="13">
        <f>COUNTIFS('Product Backlog'!$H$5:$H$34,$A22,'Product Backlog'!$G$5:$G$34,"Media")</f>
        <v>1</v>
      </c>
    </row>
    <row r="23" spans="1:4" x14ac:dyDescent="0.25">
      <c r="A23" s="4" t="s">
        <v>121</v>
      </c>
      <c r="B23" s="13">
        <f>COUNTIF('Product Backlog'!$H$5:$H$34,$A23)</f>
        <v>8</v>
      </c>
      <c r="C23" s="13">
        <f>COUNTIFS('Product Backlog'!$H$5:$H$34,$A23,'Product Backlog'!$G$5:$G$34,"Alta")</f>
        <v>6</v>
      </c>
      <c r="D23" s="13">
        <f>COUNTIFS('Product Backlog'!$H$5:$H$34,$A23,'Product Backlog'!$G$5:$G$34,"Media")</f>
        <v>2</v>
      </c>
    </row>
    <row r="24" spans="1:4" x14ac:dyDescent="0.25">
      <c r="A24" s="5" t="s">
        <v>154</v>
      </c>
      <c r="B24" s="6">
        <f>SUM(B20:B23)</f>
        <v>30</v>
      </c>
      <c r="C24" s="6">
        <f>SUM(C20:C23)</f>
        <v>26</v>
      </c>
      <c r="D24" s="6">
        <f>SUM(D20:D23)</f>
        <v>4</v>
      </c>
    </row>
    <row r="27" spans="1:4" x14ac:dyDescent="0.25">
      <c r="A27" s="3" t="s">
        <v>162</v>
      </c>
    </row>
    <row r="28" spans="1:4" x14ac:dyDescent="0.25">
      <c r="A28" s="2" t="s">
        <v>163</v>
      </c>
      <c r="B28" s="2" t="s">
        <v>154</v>
      </c>
      <c r="C28" s="2"/>
      <c r="D28" s="2"/>
    </row>
    <row r="29" spans="1:4" x14ac:dyDescent="0.25">
      <c r="A29" s="4" t="s">
        <v>56</v>
      </c>
      <c r="B29" s="13">
        <f>COUNTIF('Product Backlog'!$C$5:$C$34,$A29)</f>
        <v>17</v>
      </c>
    </row>
    <row r="30" spans="1:4" x14ac:dyDescent="0.25">
      <c r="A30" s="4" t="s">
        <v>38</v>
      </c>
      <c r="B30" s="13">
        <f>COUNTIF('Product Backlog'!$C$5:$C$34,$A30)</f>
        <v>4</v>
      </c>
    </row>
    <row r="31" spans="1:4" x14ac:dyDescent="0.25">
      <c r="A31" s="4" t="s">
        <v>13</v>
      </c>
      <c r="B31" s="13">
        <f>COUNTIF('Product Backlog'!$C$5:$C$34,$A31)</f>
        <v>7</v>
      </c>
    </row>
    <row r="32" spans="1:4" x14ac:dyDescent="0.25">
      <c r="A32" s="4" t="s">
        <v>48</v>
      </c>
      <c r="B32" s="13">
        <f>COUNTIF('Product Backlog'!$C$5:$C$34,$A32)</f>
        <v>2</v>
      </c>
    </row>
    <row r="33" spans="1:6" x14ac:dyDescent="0.25">
      <c r="A33" s="5" t="s">
        <v>154</v>
      </c>
      <c r="B33" s="6">
        <f>SUM(B29:B32)</f>
        <v>30</v>
      </c>
    </row>
    <row r="36" spans="1:6" x14ac:dyDescent="0.25">
      <c r="A36" s="3" t="s">
        <v>164</v>
      </c>
    </row>
    <row r="37" spans="1:6" ht="26.1" customHeight="1" x14ac:dyDescent="0.25">
      <c r="A37" s="14" t="s">
        <v>165</v>
      </c>
      <c r="B37" s="15"/>
      <c r="C37" s="15"/>
      <c r="D37" s="15"/>
      <c r="E37" s="15"/>
      <c r="F37" s="15"/>
    </row>
    <row r="38" spans="1:6" x14ac:dyDescent="0.25">
      <c r="A38" s="15"/>
      <c r="B38" s="15"/>
      <c r="C38" s="15"/>
      <c r="D38" s="15"/>
      <c r="E38" s="15"/>
      <c r="F38" s="15"/>
    </row>
    <row r="39" spans="1:6" x14ac:dyDescent="0.25">
      <c r="A39" s="15"/>
      <c r="B39" s="15"/>
      <c r="C39" s="15"/>
      <c r="D39" s="15"/>
      <c r="E39" s="15"/>
      <c r="F39" s="15"/>
    </row>
  </sheetData>
  <mergeCells count="1">
    <mergeCell ref="A37:F3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Product Backlog</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u202116078 (Tongo Alejandro, Milagros Salet)</cp:lastModifiedBy>
  <dcterms:created xsi:type="dcterms:W3CDTF">2026-09-11T16:40:14Z</dcterms:created>
  <dcterms:modified xsi:type="dcterms:W3CDTF">2026-09-11T17:51:14Z</dcterms:modified>
</cp:coreProperties>
</file>